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ariz\OneDrive\Desktop\PC\"/>
    </mc:Choice>
  </mc:AlternateContent>
  <xr:revisionPtr revIDLastSave="0" documentId="13_ncr:1_{73B95780-8A4F-4B92-A00A-51A70783BAE1}" xr6:coauthVersionLast="47" xr6:coauthVersionMax="47" xr10:uidLastSave="{00000000-0000-0000-0000-000000000000}"/>
  <bookViews>
    <workbookView xWindow="-120" yWindow="-120" windowWidth="38640" windowHeight="21120" xr2:uid="{31D73DF3-8906-43DB-B1CA-AB620B61669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4" i="1" l="1"/>
  <c r="B38" i="1"/>
  <c r="D38" i="1"/>
  <c r="D36" i="1"/>
  <c r="C43" i="1"/>
  <c r="D43" i="1" s="1"/>
  <c r="C42" i="1"/>
  <c r="D42" i="1" s="1"/>
  <c r="D41"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9" i="1"/>
  <c r="D40" i="1"/>
  <c r="D3" i="1"/>
  <c r="D45" i="1"/>
</calcChain>
</file>

<file path=xl/sharedStrings.xml><?xml version="1.0" encoding="utf-8"?>
<sst xmlns="http://schemas.openxmlformats.org/spreadsheetml/2006/main" count="87" uniqueCount="60">
  <si>
    <t>Item / Material</t>
  </si>
  <si>
    <t>Quantity</t>
  </si>
  <si>
    <t>1. SURFACE MOUNT DEVICES (PCB COMPONENTS)</t>
  </si>
  <si>
    <t>C1, C24, C26 (1u C0603 Ceramic Capacitor)</t>
  </si>
  <si>
    <t>C3, C7, C9 (0.22u C0603 Ceramic Capacitor)</t>
  </si>
  <si>
    <t>C20, C21 (0.22u C0603 Ceramic Capacitor)</t>
  </si>
  <si>
    <t>C28, C30, C31 (0.22u C0603 Ceramic Capacitor)</t>
  </si>
  <si>
    <t>C8, C29 (0.0047u C0603 Ceramic Capacitor)</t>
  </si>
  <si>
    <t>C19 (0.015u C0603 Ceramic Capacitor)</t>
  </si>
  <si>
    <t>J1 (PJ324M PJ324M 3.5mm Stereo Audio Jack)</t>
  </si>
  <si>
    <t>R5, R10, R44 (10k 3RP/1610N Potentiometer - Linear)</t>
  </si>
  <si>
    <t>2. AUDIO &amp; POWER ELECTRONICS</t>
  </si>
  <si>
    <t>Stereo Amplifier TPA3110 (XHA232)</t>
  </si>
  <si>
    <t>Full Range Speaker 4 Ohm, 5W (40mm Driver)</t>
  </si>
  <si>
    <t>LiPo Battery 2200mAh, 11.1V (3S Pack)</t>
  </si>
  <si>
    <t>3. MECHANICALS, TEXTILES &amp; 3D ASSETS</t>
  </si>
  <si>
    <t>Speaker Holder 3D Printed (PLA)</t>
  </si>
  <si>
    <t>Fastener: Screw M2 x 30mm (Socket Head Cap)</t>
  </si>
  <si>
    <t>Fastener: Nut M2 Hex Nut (Standard M2 Metric)</t>
  </si>
  <si>
    <t>Main Strap Nylon Webbing (50mm w)</t>
  </si>
  <si>
    <t>Source</t>
  </si>
  <si>
    <t>IC1-IC3 (TL074C SO14 Low-Noise Quad Op-Amp)</t>
  </si>
  <si>
    <t>https://digilog.pk/products/tl074c-smd-in-pakistan?_pos=2&amp;_psq=TL0&amp;_ss=e&amp;_v=1.0</t>
  </si>
  <si>
    <t>R1, R9, R17 (220k R0603 Resistor 1% 0.1W)</t>
  </si>
  <si>
    <t>C32, C33 (0.1u C0603 Ceramic Capacitor)</t>
  </si>
  <si>
    <t>C22, C23 (0.1u C0603 Ceramic Capacitor)</t>
  </si>
  <si>
    <t>C2, C4-C6 (47u C0603 Ceramic Capacitor)</t>
  </si>
  <si>
    <t>R26 (220k R0603 Resistor 1% 0.1W)</t>
  </si>
  <si>
    <t>R2 (12k R0603 Resistor 1% 0.1W)</t>
  </si>
  <si>
    <t>R6, R15, R18 (4.7k R0603 Resistor 1% 0.1W)</t>
  </si>
  <si>
    <t>R19 (4.7k R0603 Resistor 1% 0.1W)</t>
  </si>
  <si>
    <t>R11, R24 (68k R0603 Resistor 1% 0.1W)</t>
  </si>
  <si>
    <t>R12, R25 (330k R0603 Resistor 1% 0.1W)</t>
  </si>
  <si>
    <t>R13 (27k R0603 Resistor 1% 0.1W)</t>
  </si>
  <si>
    <t>R20 (3k R0603 Resistor 1% 0.1W)</t>
  </si>
  <si>
    <t>R21 (33k R0603 Resistor 1% 0.1W)</t>
  </si>
  <si>
    <t>R22 (6.2k R0603 Resistor 1% 0.1W)</t>
  </si>
  <si>
    <t>R23 (11k R0603 Resistor 1% 0.1W)</t>
  </si>
  <si>
    <t>R28 (1.2k R0603 Resistor 1% 0.1W)</t>
  </si>
  <si>
    <t>R30 (22k R0603 Resistor 1% 0.1W)</t>
  </si>
  <si>
    <t>R31 (9.1k R0603 Resistor 1% 0.1W)</t>
  </si>
  <si>
    <t>R32, R33 (680k R0603 Resistor 1% 0.1W)</t>
  </si>
  <si>
    <t>R34 (2.4k R0603 Resistor 1% 0.1W)</t>
  </si>
  <si>
    <t>https://www.evselectro.com/resistors/smd-resistors-0603-1</t>
  </si>
  <si>
    <t>https://digilog.pk/products/pcb-mount-female-audio-connector-dip-stereo-headphone-jack-in-pakistan?_pos=1&amp;_sid=e15692ef0&amp;_ss=r</t>
  </si>
  <si>
    <t>https://digilog.pk/products/variable-resistor-potentiometer-volume-type?_pos=1&amp;_sid=8f88ca3c8&amp;_ss=r</t>
  </si>
  <si>
    <t>https://digilog.pk/products/2-channel-digital-stereo-audio-power-amplifier-board-xha232-in-pakistan?_pos=7&amp;_psq=tpa&amp;_ss=e&amp;_v=1.0</t>
  </si>
  <si>
    <t>https://digilog.pk/products/4-ohm-5-watt-speaker-in-pakistan?_pos=2&amp;_psq=speaker&amp;_ss=e&amp;_v=1.0</t>
  </si>
  <si>
    <t>https://electrobes.com/product/2200mah-11-1v-3s-30c-lipo-lithium-polymer-rechargeable-battery-pack-for-rc-drone/</t>
  </si>
  <si>
    <t>https://www.evselectro.com/capacitors/smd-capacitors-0603</t>
  </si>
  <si>
    <t>Local Hardware</t>
  </si>
  <si>
    <t>Strap Fastener Loop (Velcro)</t>
  </si>
  <si>
    <t>Strap Fastener Hook (Velcro)</t>
  </si>
  <si>
    <t xml:space="preserve">https://s.daraz.pk/s.1X00a </t>
  </si>
  <si>
    <t xml:space="preserve">https://s.daraz.pk/s.1X0Yb </t>
  </si>
  <si>
    <t xml:space="preserve">https://itelectrotech.com </t>
  </si>
  <si>
    <t>PCB(Bulk Cost) (49.1mm x 54.9mm)</t>
  </si>
  <si>
    <t>Price (PKR)</t>
  </si>
  <si>
    <t>Total (PKR)</t>
  </si>
  <si>
    <t>Note: 3D-printed components are measured in grams, while the nylon strap and velcro are measured in centimeters. All costs and exchange rates reflect market values at the time of documentation and are subject to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</si>
</sst>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1" fillId="0" borderId="0" xfId="0" applyFont="1" applyAlignment="1">
      <alignment horizontal="right"/>
    </xf>
    <xf numFmtId="0" fontId="2" fillId="0" borderId="0" xfId="0" applyFont="1" applyAlignment="1">
      <alignment horizontal="center"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Array" Target="richData/rdarray.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Structure" Target="richData/rdrichvaluestructure.xml"/><Relationship Id="rId11" Type="http://schemas.microsoft.com/office/2017/06/relationships/rdRichValueTypes" Target="richData/rdRichValueTypes.xml"/><Relationship Id="rId5" Type="http://schemas.microsoft.com/office/2017/06/relationships/rdRichValue" Target="richData/rdrichvalue.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2">
  <a r="1" c="4">
    <v t="i">0</v>
    <v t="i">1</v>
    <v t="i">2</v>
    <v t="i">3</v>
  </a>
  <a r="1" c="4">
    <v>3.5699999999999998E-3</v>
    <v>3.5699999999999998E-3</v>
    <v>3.5300000000000002E-3</v>
    <v>3.5699999999999998E-3</v>
  </a>
</arrayData>
</file>

<file path=xl/richData/rdrichvalue.xml><?xml version="1.0" encoding="utf-8"?>
<rvData xmlns="http://schemas.microsoft.com/office/spreadsheetml/2017/richdata" count="1">
  <rv s="0">
    <v>0</v>
    <v>PKR/USD</v>
    <v>Daily</v>
    <v>46035</v>
    <v>46040</v>
    <v>0</v>
    <v>1</v>
    <v>639041184000000000,639043191919608565,0</v>
    <v>0</v>
    <v>avo8oc</v>
    <v>PKRUSD</v>
    <v>1</v>
  </rv>
</rvData>
</file>

<file path=xl/richData/rdrichvaluestructure.xml><?xml version="1.0" encoding="utf-8"?>
<rvStructures xmlns="http://schemas.microsoft.com/office/spreadsheetml/2017/richdata" count="1">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1">
    <spb s="0">
      <v>1</v>
      <v>2</v>
    </spb>
  </spbData>
</supportingPropertyBags>
</file>

<file path=xl/richData/rdsupportingpropertybagstructure.xml><?xml version="1.0" encoding="utf-8"?>
<spbStructures xmlns="http://schemas.microsoft.com/office/spreadsheetml/2017/richdata2" count="1">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19" formatCode="m/d/yyyy"/>
    </x:dxf>
    <x:dxf>
      <x:numFmt numFmtId="0" formatCode="General"/>
    </x:dxf>
  </dxfs>
  <richProperties>
    <rPr n="NumberFormat" t="s"/>
  </richProperties>
  <richStyles>
    <rSty dxfid="0"/>
    <rSty dxfid="1">
      <rpv i="0">_([$$-en-US]* #,##0.00_);_([$$-en-US]* (#,##0.00);_([$$-en-US]*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evselectro.com/resistors/smd-resistors-0603-1" TargetMode="External"/><Relationship Id="rId18" Type="http://schemas.openxmlformats.org/officeDocument/2006/relationships/hyperlink" Target="https://digilog.pk/products/pcb-mount-female-audio-connector-dip-stereo-headphone-jack-in-pakistan?_pos=1&amp;_sid=e15692ef0&amp;_ss=r" TargetMode="External"/><Relationship Id="rId26" Type="http://schemas.openxmlformats.org/officeDocument/2006/relationships/hyperlink" Target="https://www.evselectro.com/capacitors/smd-capacitors-0603" TargetMode="External"/><Relationship Id="rId3" Type="http://schemas.openxmlformats.org/officeDocument/2006/relationships/hyperlink" Target="https://www.evselectro.com/resistors/smd-resistors-0603-1" TargetMode="External"/><Relationship Id="rId21" Type="http://schemas.openxmlformats.org/officeDocument/2006/relationships/hyperlink" Target="https://digilog.pk/products/4-ohm-5-watt-speaker-in-pakistan?_pos=2&amp;_psq=speaker&amp;_ss=e&amp;_v=1.0" TargetMode="External"/><Relationship Id="rId7" Type="http://schemas.openxmlformats.org/officeDocument/2006/relationships/hyperlink" Target="https://www.evselectro.com/resistors/smd-resistors-0603-1" TargetMode="External"/><Relationship Id="rId12" Type="http://schemas.openxmlformats.org/officeDocument/2006/relationships/hyperlink" Target="https://www.evselectro.com/resistors/smd-resistors-0603-1" TargetMode="External"/><Relationship Id="rId17" Type="http://schemas.openxmlformats.org/officeDocument/2006/relationships/hyperlink" Target="https://www.evselectro.com/resistors/smd-resistors-0603-1" TargetMode="External"/><Relationship Id="rId25" Type="http://schemas.openxmlformats.org/officeDocument/2006/relationships/hyperlink" Target="https://www.evselectro.com/capacitors/smd-capacitors-0603" TargetMode="External"/><Relationship Id="rId33" Type="http://schemas.openxmlformats.org/officeDocument/2006/relationships/printerSettings" Target="../printerSettings/printerSettings1.bin"/><Relationship Id="rId2" Type="http://schemas.openxmlformats.org/officeDocument/2006/relationships/hyperlink" Target="https://www.evselectro.com/resistors/smd-resistors-0603-1" TargetMode="External"/><Relationship Id="rId16" Type="http://schemas.openxmlformats.org/officeDocument/2006/relationships/hyperlink" Target="https://www.evselectro.com/resistors/smd-resistors-0603-1" TargetMode="External"/><Relationship Id="rId20" Type="http://schemas.openxmlformats.org/officeDocument/2006/relationships/hyperlink" Target="https://digilog.pk/products/2-channel-digital-stereo-audio-power-amplifier-board-xha232-in-pakistan?_pos=7&amp;_psq=tpa&amp;_ss=e&amp;_v=1.0" TargetMode="External"/><Relationship Id="rId29" Type="http://schemas.openxmlformats.org/officeDocument/2006/relationships/hyperlink" Target="https://s.daraz.pk/s.1X00a" TargetMode="External"/><Relationship Id="rId1" Type="http://schemas.openxmlformats.org/officeDocument/2006/relationships/hyperlink" Target="https://digilog.pk/products/tl074c-smd-in-pakistan?_pos=2&amp;_psq=TL0&amp;_ss=e&amp;_v=1.0" TargetMode="External"/><Relationship Id="rId6" Type="http://schemas.openxmlformats.org/officeDocument/2006/relationships/hyperlink" Target="https://www.evselectro.com/resistors/smd-resistors-0603-1" TargetMode="External"/><Relationship Id="rId11" Type="http://schemas.openxmlformats.org/officeDocument/2006/relationships/hyperlink" Target="https://www.evselectro.com/resistors/smd-resistors-0603-1" TargetMode="External"/><Relationship Id="rId24" Type="http://schemas.openxmlformats.org/officeDocument/2006/relationships/hyperlink" Target="https://www.evselectro.com/capacitors/smd-capacitors-0603" TargetMode="External"/><Relationship Id="rId32" Type="http://schemas.openxmlformats.org/officeDocument/2006/relationships/hyperlink" Target="https://itelectrotech.com/" TargetMode="External"/><Relationship Id="rId5" Type="http://schemas.openxmlformats.org/officeDocument/2006/relationships/hyperlink" Target="https://www.evselectro.com/resistors/smd-resistors-0603-1" TargetMode="External"/><Relationship Id="rId15" Type="http://schemas.openxmlformats.org/officeDocument/2006/relationships/hyperlink" Target="https://www.evselectro.com/resistors/smd-resistors-0603-1" TargetMode="External"/><Relationship Id="rId23" Type="http://schemas.openxmlformats.org/officeDocument/2006/relationships/hyperlink" Target="https://www.evselectro.com/capacitors/smd-capacitors-0603" TargetMode="External"/><Relationship Id="rId28" Type="http://schemas.openxmlformats.org/officeDocument/2006/relationships/hyperlink" Target="https://www.evselectro.com/capacitors/smd-capacitors-0603" TargetMode="External"/><Relationship Id="rId10" Type="http://schemas.openxmlformats.org/officeDocument/2006/relationships/hyperlink" Target="https://www.evselectro.com/resistors/smd-resistors-0603-1" TargetMode="External"/><Relationship Id="rId19" Type="http://schemas.openxmlformats.org/officeDocument/2006/relationships/hyperlink" Target="https://digilog.pk/products/variable-resistor-potentiometer-volume-type?_pos=1&amp;_sid=8f88ca3c8&amp;_ss=r" TargetMode="External"/><Relationship Id="rId31" Type="http://schemas.openxmlformats.org/officeDocument/2006/relationships/hyperlink" Target="https://s.daraz.pk/s.1X0Yb" TargetMode="External"/><Relationship Id="rId4" Type="http://schemas.openxmlformats.org/officeDocument/2006/relationships/hyperlink" Target="https://www.evselectro.com/resistors/smd-resistors-0603-1" TargetMode="External"/><Relationship Id="rId9" Type="http://schemas.openxmlformats.org/officeDocument/2006/relationships/hyperlink" Target="https://www.evselectro.com/resistors/smd-resistors-0603-1" TargetMode="External"/><Relationship Id="rId14" Type="http://schemas.openxmlformats.org/officeDocument/2006/relationships/hyperlink" Target="https://www.evselectro.com/resistors/smd-resistors-0603-1" TargetMode="External"/><Relationship Id="rId22" Type="http://schemas.openxmlformats.org/officeDocument/2006/relationships/hyperlink" Target="https://electrobes.com/product/2200mah-11-1v-3s-30c-lipo-lithium-polymer-rechargeable-battery-pack-for-rc-drone/" TargetMode="External"/><Relationship Id="rId27" Type="http://schemas.openxmlformats.org/officeDocument/2006/relationships/hyperlink" Target="https://www.evselectro.com/capacitors/smd-capacitors-0603" TargetMode="External"/><Relationship Id="rId30" Type="http://schemas.openxmlformats.org/officeDocument/2006/relationships/hyperlink" Target="https://s.daraz.pk/s.1X00a" TargetMode="External"/><Relationship Id="rId8" Type="http://schemas.openxmlformats.org/officeDocument/2006/relationships/hyperlink" Target="https://www.evselectro.com/resistors/smd-resistors-060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183BE-D9AE-44F1-95EF-6090AEA7EC32}">
  <dimension ref="A1:E46"/>
  <sheetViews>
    <sheetView tabSelected="1" zoomScale="115" zoomScaleNormal="115" workbookViewId="0">
      <selection activeCell="D48" sqref="D48"/>
    </sheetView>
  </sheetViews>
  <sheetFormatPr defaultRowHeight="15" x14ac:dyDescent="0.25"/>
  <cols>
    <col min="1" max="1" width="56.42578125" customWidth="1"/>
    <col min="2" max="2" width="26.85546875" customWidth="1"/>
    <col min="3" max="3" width="30.85546875" customWidth="1"/>
    <col min="4" max="4" width="25.85546875" customWidth="1"/>
    <col min="5" max="5" width="142" customWidth="1"/>
  </cols>
  <sheetData>
    <row r="1" spans="1:5" ht="15.75" x14ac:dyDescent="0.25">
      <c r="A1" s="2" t="s">
        <v>0</v>
      </c>
      <c r="B1" s="2" t="s">
        <v>1</v>
      </c>
      <c r="C1" s="2" t="s">
        <v>57</v>
      </c>
      <c r="D1" s="2" t="s">
        <v>58</v>
      </c>
      <c r="E1" s="2" t="s">
        <v>20</v>
      </c>
    </row>
    <row r="2" spans="1:5" ht="15.75" x14ac:dyDescent="0.25">
      <c r="A2" s="2" t="s">
        <v>2</v>
      </c>
      <c r="B2" s="1"/>
      <c r="C2" s="1"/>
      <c r="D2" s="1"/>
      <c r="E2" s="1"/>
    </row>
    <row r="3" spans="1:5" ht="16.5" customHeight="1" x14ac:dyDescent="0.25">
      <c r="A3" s="1" t="s">
        <v>3</v>
      </c>
      <c r="B3" s="1">
        <v>3</v>
      </c>
      <c r="C3" s="1">
        <v>16</v>
      </c>
      <c r="D3" s="1">
        <f>B3*C3</f>
        <v>48</v>
      </c>
      <c r="E3" s="3" t="s">
        <v>49</v>
      </c>
    </row>
    <row r="4" spans="1:5" ht="15.75" x14ac:dyDescent="0.25">
      <c r="A4" s="1" t="s">
        <v>26</v>
      </c>
      <c r="B4" s="1">
        <v>4</v>
      </c>
      <c r="C4" s="1">
        <v>9</v>
      </c>
      <c r="D4" s="1">
        <f t="shared" ref="D4:D43" si="0">B4*C4</f>
        <v>36</v>
      </c>
      <c r="E4" s="3" t="s">
        <v>49</v>
      </c>
    </row>
    <row r="5" spans="1:5" ht="15.75" x14ac:dyDescent="0.25">
      <c r="A5" s="1" t="s">
        <v>4</v>
      </c>
      <c r="B5" s="1">
        <v>3</v>
      </c>
      <c r="C5" s="1">
        <v>7</v>
      </c>
      <c r="D5" s="1">
        <f t="shared" si="0"/>
        <v>21</v>
      </c>
      <c r="E5" s="3" t="s">
        <v>49</v>
      </c>
    </row>
    <row r="6" spans="1:5" ht="15.75" x14ac:dyDescent="0.25">
      <c r="A6" s="1" t="s">
        <v>5</v>
      </c>
      <c r="B6" s="1">
        <v>2</v>
      </c>
      <c r="C6" s="1">
        <v>7</v>
      </c>
      <c r="D6" s="1">
        <f t="shared" si="0"/>
        <v>14</v>
      </c>
      <c r="E6" s="3" t="s">
        <v>49</v>
      </c>
    </row>
    <row r="7" spans="1:5" ht="15.75" x14ac:dyDescent="0.25">
      <c r="A7" s="1" t="s">
        <v>6</v>
      </c>
      <c r="B7" s="1">
        <v>3</v>
      </c>
      <c r="C7" s="1">
        <v>7</v>
      </c>
      <c r="D7" s="1">
        <f t="shared" si="0"/>
        <v>21</v>
      </c>
      <c r="E7" s="3" t="s">
        <v>49</v>
      </c>
    </row>
    <row r="8" spans="1:5" ht="15.75" x14ac:dyDescent="0.25">
      <c r="A8" s="1" t="s">
        <v>7</v>
      </c>
      <c r="B8" s="1">
        <v>2</v>
      </c>
      <c r="C8" s="1">
        <v>7</v>
      </c>
      <c r="D8" s="1">
        <f t="shared" si="0"/>
        <v>14</v>
      </c>
      <c r="E8" s="3" t="s">
        <v>49</v>
      </c>
    </row>
    <row r="9" spans="1:5" ht="15.75" x14ac:dyDescent="0.25">
      <c r="A9" s="1" t="s">
        <v>8</v>
      </c>
      <c r="B9" s="1">
        <v>1</v>
      </c>
      <c r="C9" s="1">
        <v>7</v>
      </c>
      <c r="D9" s="1">
        <f t="shared" si="0"/>
        <v>7</v>
      </c>
      <c r="E9" s="3" t="s">
        <v>49</v>
      </c>
    </row>
    <row r="10" spans="1:5" ht="15.75" x14ac:dyDescent="0.25">
      <c r="A10" s="1" t="s">
        <v>25</v>
      </c>
      <c r="B10" s="1">
        <v>2</v>
      </c>
      <c r="C10" s="1">
        <v>7</v>
      </c>
      <c r="D10" s="1">
        <f t="shared" si="0"/>
        <v>14</v>
      </c>
      <c r="E10" s="3" t="s">
        <v>49</v>
      </c>
    </row>
    <row r="11" spans="1:5" ht="15.75" x14ac:dyDescent="0.25">
      <c r="A11" s="1" t="s">
        <v>24</v>
      </c>
      <c r="B11" s="1">
        <v>2</v>
      </c>
      <c r="C11" s="1">
        <v>7</v>
      </c>
      <c r="D11" s="1">
        <f t="shared" si="0"/>
        <v>14</v>
      </c>
      <c r="E11" s="3" t="s">
        <v>49</v>
      </c>
    </row>
    <row r="12" spans="1:5" ht="18" customHeight="1" x14ac:dyDescent="0.25">
      <c r="A12" s="1" t="s">
        <v>21</v>
      </c>
      <c r="B12" s="1">
        <v>3</v>
      </c>
      <c r="C12" s="1">
        <v>70</v>
      </c>
      <c r="D12" s="1">
        <f t="shared" si="0"/>
        <v>210</v>
      </c>
      <c r="E12" s="3" t="s">
        <v>22</v>
      </c>
    </row>
    <row r="13" spans="1:5" ht="18" customHeight="1" x14ac:dyDescent="0.25">
      <c r="A13" s="1" t="s">
        <v>9</v>
      </c>
      <c r="B13" s="1">
        <v>1</v>
      </c>
      <c r="C13" s="1">
        <v>20</v>
      </c>
      <c r="D13" s="1">
        <f t="shared" si="0"/>
        <v>20</v>
      </c>
      <c r="E13" s="3" t="s">
        <v>44</v>
      </c>
    </row>
    <row r="14" spans="1:5" ht="15.75" x14ac:dyDescent="0.25">
      <c r="A14" s="1" t="s">
        <v>23</v>
      </c>
      <c r="B14" s="1">
        <v>3</v>
      </c>
      <c r="C14" s="1">
        <v>6</v>
      </c>
      <c r="D14" s="1">
        <f t="shared" si="0"/>
        <v>18</v>
      </c>
      <c r="E14" s="3" t="s">
        <v>43</v>
      </c>
    </row>
    <row r="15" spans="1:5" ht="15.75" x14ac:dyDescent="0.25">
      <c r="A15" s="1" t="s">
        <v>27</v>
      </c>
      <c r="B15" s="1">
        <v>1</v>
      </c>
      <c r="C15" s="1">
        <v>6</v>
      </c>
      <c r="D15" s="1">
        <f t="shared" si="0"/>
        <v>6</v>
      </c>
      <c r="E15" s="3" t="s">
        <v>43</v>
      </c>
    </row>
    <row r="16" spans="1:5" ht="15.75" x14ac:dyDescent="0.25">
      <c r="A16" s="1" t="s">
        <v>28</v>
      </c>
      <c r="B16" s="1">
        <v>1</v>
      </c>
      <c r="C16" s="1">
        <v>6</v>
      </c>
      <c r="D16" s="1">
        <f t="shared" si="0"/>
        <v>6</v>
      </c>
      <c r="E16" s="3" t="s">
        <v>43</v>
      </c>
    </row>
    <row r="17" spans="1:5" ht="19.5" customHeight="1" x14ac:dyDescent="0.25">
      <c r="A17" s="1" t="s">
        <v>10</v>
      </c>
      <c r="B17" s="1">
        <v>3</v>
      </c>
      <c r="C17" s="1">
        <v>30</v>
      </c>
      <c r="D17" s="1">
        <f t="shared" si="0"/>
        <v>90</v>
      </c>
      <c r="E17" s="3" t="s">
        <v>45</v>
      </c>
    </row>
    <row r="18" spans="1:5" ht="15.75" x14ac:dyDescent="0.25">
      <c r="A18" s="1" t="s">
        <v>29</v>
      </c>
      <c r="B18" s="1">
        <v>3</v>
      </c>
      <c r="C18" s="1">
        <v>6</v>
      </c>
      <c r="D18" s="1">
        <f t="shared" si="0"/>
        <v>18</v>
      </c>
      <c r="E18" s="3" t="s">
        <v>43</v>
      </c>
    </row>
    <row r="19" spans="1:5" ht="15.75" x14ac:dyDescent="0.25">
      <c r="A19" s="1" t="s">
        <v>30</v>
      </c>
      <c r="B19" s="1">
        <v>1</v>
      </c>
      <c r="C19" s="1">
        <v>6</v>
      </c>
      <c r="D19" s="1">
        <f t="shared" si="0"/>
        <v>6</v>
      </c>
      <c r="E19" s="3" t="s">
        <v>43</v>
      </c>
    </row>
    <row r="20" spans="1:5" ht="15.75" x14ac:dyDescent="0.25">
      <c r="A20" s="1" t="s">
        <v>31</v>
      </c>
      <c r="B20" s="1">
        <v>2</v>
      </c>
      <c r="C20" s="1">
        <v>6</v>
      </c>
      <c r="D20" s="1">
        <f t="shared" si="0"/>
        <v>12</v>
      </c>
      <c r="E20" s="3" t="s">
        <v>43</v>
      </c>
    </row>
    <row r="21" spans="1:5" ht="15.75" x14ac:dyDescent="0.25">
      <c r="A21" s="1" t="s">
        <v>32</v>
      </c>
      <c r="B21" s="1">
        <v>2</v>
      </c>
      <c r="C21" s="1">
        <v>6</v>
      </c>
      <c r="D21" s="1">
        <f t="shared" si="0"/>
        <v>12</v>
      </c>
      <c r="E21" s="3" t="s">
        <v>43</v>
      </c>
    </row>
    <row r="22" spans="1:5" ht="15.75" x14ac:dyDescent="0.25">
      <c r="A22" s="1" t="s">
        <v>33</v>
      </c>
      <c r="B22" s="1">
        <v>1</v>
      </c>
      <c r="C22" s="1">
        <v>6</v>
      </c>
      <c r="D22" s="1">
        <f t="shared" si="0"/>
        <v>6</v>
      </c>
      <c r="E22" s="3" t="s">
        <v>43</v>
      </c>
    </row>
    <row r="23" spans="1:5" ht="15.75" x14ac:dyDescent="0.25">
      <c r="A23" s="1" t="s">
        <v>34</v>
      </c>
      <c r="B23" s="1">
        <v>1</v>
      </c>
      <c r="C23" s="1">
        <v>6</v>
      </c>
      <c r="D23" s="1">
        <f t="shared" si="0"/>
        <v>6</v>
      </c>
      <c r="E23" s="3" t="s">
        <v>43</v>
      </c>
    </row>
    <row r="24" spans="1:5" ht="15.75" x14ac:dyDescent="0.25">
      <c r="A24" s="1" t="s">
        <v>35</v>
      </c>
      <c r="B24" s="1">
        <v>1</v>
      </c>
      <c r="C24" s="1">
        <v>6</v>
      </c>
      <c r="D24" s="1">
        <f t="shared" si="0"/>
        <v>6</v>
      </c>
      <c r="E24" s="3" t="s">
        <v>43</v>
      </c>
    </row>
    <row r="25" spans="1:5" ht="15.75" x14ac:dyDescent="0.25">
      <c r="A25" s="1" t="s">
        <v>36</v>
      </c>
      <c r="B25" s="1">
        <v>1</v>
      </c>
      <c r="C25" s="1">
        <v>6</v>
      </c>
      <c r="D25" s="1">
        <f t="shared" si="0"/>
        <v>6</v>
      </c>
      <c r="E25" s="3" t="s">
        <v>43</v>
      </c>
    </row>
    <row r="26" spans="1:5" ht="15.75" x14ac:dyDescent="0.25">
      <c r="A26" s="1" t="s">
        <v>37</v>
      </c>
      <c r="B26" s="1">
        <v>1</v>
      </c>
      <c r="C26" s="1">
        <v>6</v>
      </c>
      <c r="D26" s="1">
        <f t="shared" si="0"/>
        <v>6</v>
      </c>
      <c r="E26" s="3" t="s">
        <v>43</v>
      </c>
    </row>
    <row r="27" spans="1:5" ht="15.75" x14ac:dyDescent="0.25">
      <c r="A27" s="1" t="s">
        <v>38</v>
      </c>
      <c r="B27" s="1">
        <v>1</v>
      </c>
      <c r="C27" s="1">
        <v>6</v>
      </c>
      <c r="D27" s="1">
        <f t="shared" si="0"/>
        <v>6</v>
      </c>
      <c r="E27" s="3" t="s">
        <v>43</v>
      </c>
    </row>
    <row r="28" spans="1:5" ht="15.75" x14ac:dyDescent="0.25">
      <c r="A28" s="1" t="s">
        <v>39</v>
      </c>
      <c r="B28" s="1">
        <v>1</v>
      </c>
      <c r="C28" s="1">
        <v>6</v>
      </c>
      <c r="D28" s="1">
        <f t="shared" si="0"/>
        <v>6</v>
      </c>
      <c r="E28" s="3" t="s">
        <v>43</v>
      </c>
    </row>
    <row r="29" spans="1:5" ht="15.75" x14ac:dyDescent="0.25">
      <c r="A29" s="1" t="s">
        <v>40</v>
      </c>
      <c r="B29" s="1">
        <v>1</v>
      </c>
      <c r="C29" s="1">
        <v>6</v>
      </c>
      <c r="D29" s="1">
        <f t="shared" si="0"/>
        <v>6</v>
      </c>
      <c r="E29" s="3" t="s">
        <v>43</v>
      </c>
    </row>
    <row r="30" spans="1:5" ht="15.75" x14ac:dyDescent="0.25">
      <c r="A30" s="1" t="s">
        <v>41</v>
      </c>
      <c r="B30" s="1">
        <v>2</v>
      </c>
      <c r="C30" s="1">
        <v>6</v>
      </c>
      <c r="D30" s="1">
        <f t="shared" si="0"/>
        <v>12</v>
      </c>
      <c r="E30" s="3" t="s">
        <v>43</v>
      </c>
    </row>
    <row r="31" spans="1:5" ht="15.75" x14ac:dyDescent="0.25">
      <c r="A31" s="1" t="s">
        <v>42</v>
      </c>
      <c r="B31" s="1">
        <v>1</v>
      </c>
      <c r="C31" s="1">
        <v>6</v>
      </c>
      <c r="D31" s="1">
        <f t="shared" si="0"/>
        <v>6</v>
      </c>
      <c r="E31" s="3" t="s">
        <v>43</v>
      </c>
    </row>
    <row r="32" spans="1:5" ht="15.75" x14ac:dyDescent="0.25">
      <c r="A32" s="2" t="s">
        <v>11</v>
      </c>
      <c r="B32" s="1"/>
      <c r="C32" s="1"/>
      <c r="D32" s="1">
        <f t="shared" si="0"/>
        <v>0</v>
      </c>
      <c r="E32" s="3"/>
    </row>
    <row r="33" spans="1:5" ht="14.25" customHeight="1" x14ac:dyDescent="0.25">
      <c r="A33" s="1" t="s">
        <v>12</v>
      </c>
      <c r="B33" s="1">
        <v>2</v>
      </c>
      <c r="C33" s="1">
        <v>600</v>
      </c>
      <c r="D33" s="1">
        <f t="shared" si="0"/>
        <v>1200</v>
      </c>
      <c r="E33" s="3" t="s">
        <v>46</v>
      </c>
    </row>
    <row r="34" spans="1:5" ht="15.75" x14ac:dyDescent="0.25">
      <c r="A34" s="1" t="s">
        <v>13</v>
      </c>
      <c r="B34" s="1">
        <v>6</v>
      </c>
      <c r="C34" s="1">
        <v>140</v>
      </c>
      <c r="D34" s="1">
        <f t="shared" si="0"/>
        <v>840</v>
      </c>
      <c r="E34" s="3" t="s">
        <v>47</v>
      </c>
    </row>
    <row r="35" spans="1:5" ht="15.75" x14ac:dyDescent="0.25">
      <c r="A35" s="1" t="s">
        <v>14</v>
      </c>
      <c r="B35" s="1">
        <v>1</v>
      </c>
      <c r="C35" s="1">
        <v>5000</v>
      </c>
      <c r="D35" s="1">
        <f t="shared" si="0"/>
        <v>5000</v>
      </c>
      <c r="E35" s="3" t="s">
        <v>48</v>
      </c>
    </row>
    <row r="36" spans="1:5" ht="15.75" x14ac:dyDescent="0.25">
      <c r="A36" s="1" t="s">
        <v>56</v>
      </c>
      <c r="B36" s="1">
        <v>1</v>
      </c>
      <c r="C36" s="1">
        <v>100</v>
      </c>
      <c r="D36" s="1">
        <f>B36*C36</f>
        <v>100</v>
      </c>
      <c r="E36" s="3" t="s">
        <v>55</v>
      </c>
    </row>
    <row r="37" spans="1:5" ht="15.75" x14ac:dyDescent="0.25">
      <c r="A37" s="2" t="s">
        <v>15</v>
      </c>
      <c r="B37" s="1"/>
      <c r="C37" s="1"/>
      <c r="D37" s="1"/>
      <c r="E37" s="3"/>
    </row>
    <row r="38" spans="1:5" ht="15.75" x14ac:dyDescent="0.25">
      <c r="A38" s="1" t="s">
        <v>16</v>
      </c>
      <c r="B38" s="1">
        <f>6*6.159</f>
        <v>36.954000000000001</v>
      </c>
      <c r="C38" s="1">
        <v>15</v>
      </c>
      <c r="D38" s="1">
        <f>B38*C38</f>
        <v>554.31000000000006</v>
      </c>
      <c r="E38" s="3" t="s">
        <v>50</v>
      </c>
    </row>
    <row r="39" spans="1:5" ht="15.75" x14ac:dyDescent="0.25">
      <c r="A39" s="1" t="s">
        <v>17</v>
      </c>
      <c r="B39" s="1">
        <v>24</v>
      </c>
      <c r="C39" s="1">
        <v>3</v>
      </c>
      <c r="D39" s="1">
        <f>B39*C39</f>
        <v>72</v>
      </c>
      <c r="E39" s="3" t="s">
        <v>50</v>
      </c>
    </row>
    <row r="40" spans="1:5" ht="15.75" x14ac:dyDescent="0.25">
      <c r="A40" s="1" t="s">
        <v>18</v>
      </c>
      <c r="B40" s="1">
        <v>24</v>
      </c>
      <c r="C40" s="1">
        <v>1</v>
      </c>
      <c r="D40" s="1">
        <f t="shared" si="0"/>
        <v>24</v>
      </c>
      <c r="E40" s="3" t="s">
        <v>50</v>
      </c>
    </row>
    <row r="41" spans="1:5" ht="15.75" x14ac:dyDescent="0.25">
      <c r="A41" s="1" t="s">
        <v>19</v>
      </c>
      <c r="B41" s="1">
        <v>122</v>
      </c>
      <c r="C41" s="1">
        <v>1</v>
      </c>
      <c r="D41" s="1">
        <f>B41*C41</f>
        <v>122</v>
      </c>
      <c r="E41" s="3" t="s">
        <v>54</v>
      </c>
    </row>
    <row r="42" spans="1:5" ht="15.75" x14ac:dyDescent="0.25">
      <c r="A42" s="1" t="s">
        <v>51</v>
      </c>
      <c r="B42" s="1">
        <v>20</v>
      </c>
      <c r="C42" s="1">
        <f>125/300</f>
        <v>0.41666666666666669</v>
      </c>
      <c r="D42" s="1">
        <f t="shared" si="0"/>
        <v>8.3333333333333339</v>
      </c>
      <c r="E42" s="3" t="s">
        <v>53</v>
      </c>
    </row>
    <row r="43" spans="1:5" ht="15.75" x14ac:dyDescent="0.25">
      <c r="A43" s="1" t="s">
        <v>52</v>
      </c>
      <c r="B43" s="1">
        <v>5</v>
      </c>
      <c r="C43" s="1">
        <f>125/300</f>
        <v>0.41666666666666669</v>
      </c>
      <c r="D43" s="1">
        <f t="shared" si="0"/>
        <v>2.0833333333333335</v>
      </c>
      <c r="E43" s="3" t="s">
        <v>53</v>
      </c>
    </row>
    <row r="44" spans="1:5" ht="15.75" customHeight="1" x14ac:dyDescent="0.25">
      <c r="A44" s="1"/>
      <c r="B44" s="1"/>
      <c r="C44" s="1"/>
      <c r="D44" s="1">
        <f>SUM(D3:D43)</f>
        <v>8575.7266666666674</v>
      </c>
      <c r="E44" s="4" t="s">
        <v>59</v>
      </c>
    </row>
    <row r="45" spans="1:5" ht="15.75" x14ac:dyDescent="0.25">
      <c r="D45" s="3" t="str">
        <f ca="1">D44 * INDEX(_xlfn.STOCKHISTORY("PKR/USD", TODAY()-5, TODAY()), 2, 2) &amp; " USD"</f>
        <v>30.6153442 USD</v>
      </c>
      <c r="E45" s="4"/>
    </row>
    <row r="46" spans="1:5" ht="15" customHeight="1" x14ac:dyDescent="0.25">
      <c r="E46" s="5"/>
    </row>
  </sheetData>
  <mergeCells count="1">
    <mergeCell ref="E44:E45"/>
  </mergeCells>
  <hyperlinks>
    <hyperlink ref="E12" r:id="rId1" xr:uid="{F058A730-3C18-4A60-B457-5FD1B5214394}"/>
    <hyperlink ref="E14" r:id="rId2" xr:uid="{8F5DF7B8-9215-4633-86F5-6136C4F11276}"/>
    <hyperlink ref="E15" r:id="rId3" xr:uid="{FC214F09-B934-465D-BCDB-EAD2AC09B4FC}"/>
    <hyperlink ref="E16" r:id="rId4" xr:uid="{CEB89BF3-8FEB-467D-A5F9-5A48608D7BC1}"/>
    <hyperlink ref="E18" r:id="rId5" xr:uid="{CB56AA84-03F0-44DA-9C0A-8954ED8365B0}"/>
    <hyperlink ref="E19" r:id="rId6" xr:uid="{BA55525D-C43E-4477-A9F7-4C12BA73FCB0}"/>
    <hyperlink ref="E20" r:id="rId7" xr:uid="{3FE3CC6C-F087-4F35-AFC2-F67E64C8B2C8}"/>
    <hyperlink ref="E21" r:id="rId8" xr:uid="{47D181D7-99B5-4F47-914B-9B4F5CEDD8D4}"/>
    <hyperlink ref="E22" r:id="rId9" xr:uid="{FA20E4B5-0295-45B9-9E2C-8B3C1A5CD489}"/>
    <hyperlink ref="E23" r:id="rId10" xr:uid="{D2CAC62B-914B-4A1F-B2BC-61B45ABA449C}"/>
    <hyperlink ref="E24" r:id="rId11" xr:uid="{54564243-0AD9-4165-BD86-45985EC48EDA}"/>
    <hyperlink ref="E25" r:id="rId12" xr:uid="{BD9C77EE-DB83-445E-8A47-08A6E64C14BD}"/>
    <hyperlink ref="E26" r:id="rId13" xr:uid="{67D4DCAB-469C-42BA-AD1B-E53B14484227}"/>
    <hyperlink ref="E27" r:id="rId14" xr:uid="{787D6E3A-DFFF-498A-9636-D71B8A53BD84}"/>
    <hyperlink ref="E28" r:id="rId15" xr:uid="{5DEDE41D-A050-436B-BC76-BEE532DE4885}"/>
    <hyperlink ref="E29" r:id="rId16" xr:uid="{A5FDF878-F86C-447F-BAD2-A989FB4C78EB}"/>
    <hyperlink ref="E30:E31" r:id="rId17" display="https://www.evselectro.com/resistors/smd-resistors-0603-1" xr:uid="{54FCFBB0-FC94-4AA4-BE7F-E50E512C9304}"/>
    <hyperlink ref="E13" r:id="rId18" xr:uid="{E2499106-EEEB-4063-8306-D548D2223F8D}"/>
    <hyperlink ref="E17" r:id="rId19" xr:uid="{34744309-B52F-46E1-8DF4-EF214A2B8FC3}"/>
    <hyperlink ref="E33" r:id="rId20" xr:uid="{EE0E845C-F760-49EB-A314-94228B0FF778}"/>
    <hyperlink ref="E34" r:id="rId21" xr:uid="{54661C17-0375-478E-9E27-135D4FC95D40}"/>
    <hyperlink ref="E35" r:id="rId22" xr:uid="{3ABD52F6-9C6D-4E46-B44A-317351A5DF7B}"/>
    <hyperlink ref="E5" r:id="rId23" xr:uid="{CE93E366-6D6B-46B9-B8B6-67AE37E8F665}"/>
    <hyperlink ref="E6" r:id="rId24" xr:uid="{11C40EEF-CA01-48CF-B124-9F5F0477B006}"/>
    <hyperlink ref="E7" r:id="rId25" xr:uid="{DF48AC3F-AB09-44EB-A21B-6FD7B0D288A6}"/>
    <hyperlink ref="E8" r:id="rId26" xr:uid="{E83F9A00-3FC1-45CB-94CC-BBF32BE1C444}"/>
    <hyperlink ref="E9" r:id="rId27" xr:uid="{915E3753-DBEA-4741-A058-41F758B8B199}"/>
    <hyperlink ref="E10" r:id="rId28" xr:uid="{2D69E9C1-FFCC-436A-B0BB-3A263E01A27E}"/>
    <hyperlink ref="E42" r:id="rId29" xr:uid="{2C969BEB-7C54-459B-B092-7F4F975727E3}"/>
    <hyperlink ref="E43" r:id="rId30" xr:uid="{924DC923-2149-463F-A82E-527B0CA24B51}"/>
    <hyperlink ref="E41" r:id="rId31" xr:uid="{586EF2E1-165B-4429-95DC-BAC64A51A706}"/>
    <hyperlink ref="E36" r:id="rId32" xr:uid="{CC5D40DF-248F-4C55-AD36-A7D876641F65}"/>
  </hyperlinks>
  <pageMargins left="0.7" right="0.7" top="0.75" bottom="0.75" header="0.3" footer="0.3"/>
  <pageSetup paperSize="9" orientation="portrait" horizontalDpi="0" verticalDpi="0" r:id="rId3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Hariz Zoran</dc:creator>
  <cp:lastModifiedBy>Hariz Zoran</cp:lastModifiedBy>
  <dcterms:created xsi:type="dcterms:W3CDTF">2026-01-17T20:58:14Z</dcterms:created>
  <dcterms:modified xsi:type="dcterms:W3CDTF">2026-01-18T07:51:43Z</dcterms:modified>
</cp:coreProperties>
</file>